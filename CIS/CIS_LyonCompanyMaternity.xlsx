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/>
  <mc:AlternateContent xmlns:mc="http://schemas.openxmlformats.org/markup-compatibility/2006">
    <mc:Choice Requires="x15">
      <x15ac:absPath xmlns:x15ac="http://schemas.microsoft.com/office/spreadsheetml/2010/11/ac" url="C:\Users\DAQUINO\Downloads\Etapa Estadual - 2026 Ocupação #09\"/>
    </mc:Choice>
  </mc:AlternateContent>
  <xr:revisionPtr revIDLastSave="293" documentId="13_ncr:1_{4E18FF55-E2EC-431F-88C1-E98841B384CF}" xr6:coauthVersionLast="47" xr6:coauthVersionMax="47" xr10:uidLastSave="{6F6C761C-FD7F-40A3-9A3D-F3CA09F8C014}"/>
  <bookViews>
    <workbookView xWindow="-110" yWindow="-110" windowWidth="25820" windowHeight="15500" firstSheet="4" xr2:uid="{00000000-000D-0000-FFFF-FFFF00000000}"/>
  </bookViews>
  <sheets>
    <sheet name="CIS_MÓDULO1" sheetId="1" r:id="rId1"/>
    <sheet name="CIS_MÓDULO 2" sheetId="3" r:id="rId2"/>
    <sheet name="CIS_MÓDULO 3" sheetId="4" r:id="rId3"/>
    <sheet name="CIS_MÓDULO 4" sheetId="5" r:id="rId4"/>
    <sheet name="CIS_MÓDULO 5" sheetId="6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7" i="6" l="1"/>
  <c r="E27" i="6"/>
  <c r="D27" i="6"/>
  <c r="D30" i="6" s="1"/>
  <c r="D2" i="6"/>
  <c r="F27" i="5"/>
  <c r="E27" i="5"/>
  <c r="D27" i="5"/>
  <c r="D30" i="5" s="1"/>
  <c r="D2" i="5"/>
  <c r="F29" i="4"/>
  <c r="F27" i="3"/>
  <c r="F27" i="1"/>
  <c r="E29" i="4"/>
  <c r="D29" i="4"/>
  <c r="D2" i="4"/>
  <c r="E27" i="3"/>
  <c r="D27" i="3"/>
  <c r="D30" i="3" s="1"/>
  <c r="D2" i="3"/>
  <c r="D2" i="1"/>
  <c r="E27" i="1"/>
  <c r="D27" i="1"/>
  <c r="D30" i="1" s="1"/>
  <c r="D32" i="4" l="1"/>
  <c r="D35" i="4" l="1"/>
  <c r="D33" i="5"/>
  <c r="D33" i="6" s="1"/>
</calcChain>
</file>

<file path=xl/sharedStrings.xml><?xml version="1.0" encoding="utf-8"?>
<sst xmlns="http://schemas.openxmlformats.org/spreadsheetml/2006/main" count="137" uniqueCount="82">
  <si>
    <t>Documento CIS - Roteiro de Correção de Avaliação</t>
  </si>
  <si>
    <t>Nome do Competidor:</t>
  </si>
  <si>
    <t>Pontuação Da Prova:</t>
  </si>
  <si>
    <t>Nº</t>
  </si>
  <si>
    <t>Aspectos técnicos alcaçados no Projeto</t>
  </si>
  <si>
    <t>Pontuação Máxima</t>
  </si>
  <si>
    <t>AVALIADOR 1</t>
  </si>
  <si>
    <t>AVALIADOR 2</t>
  </si>
  <si>
    <t>AVALIADOR 3</t>
  </si>
  <si>
    <t>Entregou e salvou o projeto no disco Local pedido pelo Avaliador</t>
  </si>
  <si>
    <t>Entregou o modelo entidade relacionamento.</t>
  </si>
  <si>
    <t>Criou todas as tabelas (Cardinalidades corretas) necessárias no modelo entidade relacionamento</t>
  </si>
  <si>
    <t>Criou todos atributos e chaves identificadoras necessárias no modelo entidade relacionamento</t>
  </si>
  <si>
    <t>Entregou o modelo entidade Lógico.</t>
  </si>
  <si>
    <t>Criou todas as tabelas necessárias no modelo Lógico.</t>
  </si>
  <si>
    <t>Criou todas as chaves primárias e estrangeiras necessárias no modelo Lógico.</t>
  </si>
  <si>
    <t>Entregou o modelo físico em SQL.</t>
  </si>
  <si>
    <t>Criou todas as tabelas necessárias no modelo Físico.</t>
  </si>
  <si>
    <t>Criou todas as chaves primárias e estrangeiras necessárias no modelo Físico.</t>
  </si>
  <si>
    <t>O projeto físico do banco de dados estão funcionais.</t>
  </si>
  <si>
    <t>Entregou os Insert,s das tabelas do banco de dados.</t>
  </si>
  <si>
    <t>Os Insert,s das tabelas do banco de dados estão funcionais</t>
  </si>
  <si>
    <t>Entregou o  Dicionário de Dados em excel.</t>
  </si>
  <si>
    <t>Criou todas as tabelas necessárias no Dicionário.</t>
  </si>
  <si>
    <t>Criou todas as chaves primárias e estrangeiras necessárias no dicionário.</t>
  </si>
  <si>
    <t>Os Relacionamentos das chaves estrangeiras estão corretas no dicionário de dados.</t>
  </si>
  <si>
    <t>Os nomes das tabelas estão corretamente coerentes com o descritivo do projeto.</t>
  </si>
  <si>
    <t>Total de Pontos:</t>
  </si>
  <si>
    <t>Pontos Finais:</t>
  </si>
  <si>
    <t>Entregou e salvou o projeto no disco Local C:/D/Drive como orientado pelo Avaliador:</t>
  </si>
  <si>
    <t>Criou tela de login como especificado no projeto</t>
  </si>
  <si>
    <t>Aplicou o comportamento dos forms (centralizado na tela de login)</t>
  </si>
  <si>
    <t>Todos os usuários do setor Administrativo estão logando</t>
  </si>
  <si>
    <t>Apresentou mensagem de boas vindas</t>
  </si>
  <si>
    <t>Apresentou mensagem de Usuário inválido</t>
  </si>
  <si>
    <t>Carregou todos os menus da tela principal (Cadastro de Paciente)</t>
  </si>
  <si>
    <t>Todos os menus da tela principal (Cadastro de Paciente) estão funcionando como pedido</t>
  </si>
  <si>
    <t>Usuários do setor Saúde estão conseguindo logar no sistema.</t>
  </si>
  <si>
    <t>Se exibiu o logo tipo correto de forma centralizada nas telas de cadastro</t>
  </si>
  <si>
    <t>Cadastro de Médicos estão funcionando e se conectando ao banco corretamente.</t>
  </si>
  <si>
    <t>Exibiu mensagem de Sucesso ao Cadastrar Médicos.</t>
  </si>
  <si>
    <t>Cadastro de Pacientes estão funcionando e se conectando ao banco corretamente.</t>
  </si>
  <si>
    <t>Exibiu mensagem de Sucesso ao Cadastrar um novo Pacientes.</t>
  </si>
  <si>
    <t>Cadastro de Recém-nascidos estão funcionando e se conectando ao banco corretamente.</t>
  </si>
  <si>
    <t>Exibiu mensagem de Sucesso ao Cadastrar Recém-nascidos.</t>
  </si>
  <si>
    <t>Todos os botões de Editar estão funcionando corretamente.</t>
  </si>
  <si>
    <t>Exibiu mensagem de Sucesso ao Editar dados de todas as telas de cadastro.</t>
  </si>
  <si>
    <t>Todos os botões de Deletar estão funcionando corretamente.</t>
  </si>
  <si>
    <t>Exibiu mensagem ao Deletar dados de todas as telas de cadastro.</t>
  </si>
  <si>
    <t>P</t>
  </si>
  <si>
    <t>Utilizou as Paletas de cores indicadas e disponibilizadas no DataFiles.</t>
  </si>
  <si>
    <t>Pontuação Final:</t>
  </si>
  <si>
    <t>Usuários do setor Administtrativo estão conseguindo Realizar todas as consultas</t>
  </si>
  <si>
    <t>Usuários do setor Saúde estão conseguindo realizar apenas consultas de Pacientes e Recém-nascidos.</t>
  </si>
  <si>
    <t>Consultas de Médicos estão funcionando e se conectando ao banco corretamente.</t>
  </si>
  <si>
    <t>Exibiu mensagem de erro caso a chave primária da consulta não constar no banco.</t>
  </si>
  <si>
    <t>Consultas de Pacientes estão funcionando e se conectando ao banco corretamente.</t>
  </si>
  <si>
    <t>Consultas de Recém-nascidos estão funcionando e se conectando ao banco corretamente.</t>
  </si>
  <si>
    <t>Criou o Botão "Limpar" como foi pedido no descritivo.</t>
  </si>
  <si>
    <t>Todas as Consultas Internas (Formulários) estão funcionando.</t>
  </si>
  <si>
    <t>Todas as Consultas Gerais (Tabelas) estão funcionando.</t>
  </si>
  <si>
    <t>Botão "Limpar" está funcionando corretamente.</t>
  </si>
  <si>
    <t>Utilizou Imagens disponibilizadas no DataFiles nas telas de consultas.</t>
  </si>
  <si>
    <t>Pontuação GERAL:</t>
  </si>
  <si>
    <t>Carregou tela principal (Controle Maternidade)</t>
  </si>
  <si>
    <t>Dashboard de Funcionários por Setor, estão exibindo 
gráfico de barras com a quantidade de funcionários. stão exibindo gráfico de pizza com
 a porcentagem de partos Normal e Cesárea, consumindo dados reais do banco.</t>
  </si>
  <si>
    <t>Dashboard de Partos dos Recém-Nascidos, estão exibindo gráfico de pizza com
 a porcentagem de partos Normal e Cesárea, consumindo dados reais do banco.</t>
  </si>
  <si>
    <t>Tabela de Consulta de Recém-Nascidos, exibindo médico responsável, 
nome da mãe, peso, tamanho, data de nascimento, hora de nascimento e observações relevantes.</t>
  </si>
  <si>
    <t>Integração completa com o Banco de Dados, garantindo que todos os gráficos, 
tabelas e consultas sejam alimentados pelos dados cadastrados.</t>
  </si>
  <si>
    <t>Consultas e filtro (Todos os Setores/Administrativo/Saúde) foram inseridos funcionalmente, integrando banco de dados cadastrados.</t>
  </si>
  <si>
    <t>Consultas e filtro (Partos realizados por mês) foram inseridos funcionalmente, integrando banco de dados cadastrados.</t>
  </si>
  <si>
    <t>Entregou e salvou o tutorial no disco Local C:/D/Drive como orientado pelo Avaliador:</t>
  </si>
  <si>
    <t>Explicou e exibiu no tutorial print da tela de login com explicação do campo de e-mail.</t>
  </si>
  <si>
    <t>Explicou e exibiu no tutorial print da tela de login com explicação do campo de Senha.</t>
  </si>
  <si>
    <t>Explicou e exibiu no tutorial print da tela de login com explicação da validação do usupario ou não validação.</t>
  </si>
  <si>
    <t>Explicou e exibiu no tutorial print da tela principal como: menus e guias</t>
  </si>
  <si>
    <t>Explicou e exibiu no tutorial navegação entre Médicos, Pacientes e Recém-Nascidos.</t>
  </si>
  <si>
    <t>Explicou e exibiu no tutorial sobre o CRUD de dados de Médicos, Pacientes e Recém-Nascidos.</t>
  </si>
  <si>
    <t>Explicou e exibiu no tutorial sobre Consultas dados de Médicos, Pacientes e Recém-Nascidos.</t>
  </si>
  <si>
    <t>Explicou e exibiu no tutorial print da tela dashboard completo.</t>
  </si>
  <si>
    <t>Exibiu no tutorial sobre Explicação do gráfico de funcionários por setores.</t>
  </si>
  <si>
    <t>Exibiu no tutorial sobre Explicação do gráfico de partos Normal e Cesárea.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</si>
</sst>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scheme val="minor"/>
    </font>
    <font>
      <b/>
      <sz val="12"/>
      <color theme="0"/>
      <name val="Arial"/>
    </font>
    <font>
      <sz val="11"/>
      <name val="Calibri"/>
    </font>
    <font>
      <sz val="11"/>
      <color theme="1"/>
      <name val="Calibri"/>
    </font>
    <font>
      <b/>
      <sz val="11"/>
      <color theme="0"/>
      <name val="Calibri"/>
    </font>
    <font>
      <b/>
      <sz val="11"/>
      <color rgb="FF000000"/>
      <name val="Calibri"/>
    </font>
    <font>
      <b/>
      <sz val="11"/>
      <color theme="1"/>
      <name val="Calibri"/>
    </font>
    <font>
      <sz val="11"/>
      <color theme="1"/>
      <name val="Arial"/>
    </font>
    <font>
      <sz val="8"/>
      <name val="Calibri"/>
      <scheme val="minor"/>
    </font>
    <font>
      <b/>
      <sz val="12"/>
      <name val="Arial"/>
      <family val="2"/>
    </font>
    <font>
      <sz val="11"/>
      <name val="Calibri"/>
      <family val="2"/>
    </font>
    <font>
      <sz val="20"/>
      <color theme="1"/>
      <name val="Calibri"/>
      <family val="2"/>
    </font>
    <font>
      <sz val="11"/>
      <color theme="1"/>
      <name val="Calibri"/>
      <scheme val="minor"/>
    </font>
    <font>
      <sz val="18"/>
      <color theme="1"/>
      <name val="Calibri"/>
      <family val="2"/>
    </font>
    <font>
      <sz val="11"/>
      <color theme="1"/>
      <name val="Arial"/>
      <family val="2"/>
    </font>
    <font>
      <sz val="11"/>
      <color rgb="FFFF0000"/>
      <name val="Calibri"/>
    </font>
    <font>
      <b/>
      <sz val="16"/>
      <color theme="0"/>
      <name val="Calibri"/>
    </font>
    <font>
      <b/>
      <sz val="16"/>
      <color theme="1"/>
      <name val="Calibri"/>
    </font>
    <font>
      <b/>
      <sz val="18"/>
      <color theme="1"/>
      <name val="Calibri"/>
    </font>
  </fonts>
  <fills count="13">
    <fill>
      <patternFill patternType="none"/>
    </fill>
    <fill>
      <patternFill patternType="gray125"/>
    </fill>
    <fill>
      <patternFill patternType="solid">
        <fgColor rgb="FF1E4E79"/>
        <bgColor rgb="FF1E4E79"/>
      </patternFill>
    </fill>
    <fill>
      <patternFill patternType="solid">
        <fgColor theme="0"/>
        <bgColor theme="0"/>
      </patternFill>
    </fill>
    <fill>
      <patternFill patternType="solid">
        <fgColor theme="8"/>
        <bgColor theme="8"/>
      </patternFill>
    </fill>
    <fill>
      <patternFill patternType="solid">
        <fgColor theme="9"/>
        <bgColor theme="9"/>
      </patternFill>
    </fill>
    <fill>
      <patternFill patternType="solid">
        <fgColor rgb="FFFFFF00"/>
        <bgColor theme="9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theme="9"/>
      </patternFill>
    </fill>
    <fill>
      <patternFill patternType="solid">
        <fgColor theme="7"/>
        <bgColor indexed="64"/>
      </patternFill>
    </fill>
    <fill>
      <patternFill patternType="solid">
        <fgColor theme="8" tint="-0.249977111117893"/>
        <bgColor theme="9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4" tint="-0.249977111117893"/>
        <bgColor indexed="64"/>
      </patternFill>
    </fill>
  </fills>
  <borders count="2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12" fillId="0" borderId="2"/>
  </cellStyleXfs>
  <cellXfs count="53">
    <xf numFmtId="0" fontId="0" fillId="0" borderId="0" xfId="0"/>
    <xf numFmtId="0" fontId="3" fillId="3" borderId="2" xfId="0" applyFont="1" applyFill="1" applyBorder="1"/>
    <xf numFmtId="0" fontId="4" fillId="4" borderId="3" xfId="0" applyFont="1" applyFill="1" applyBorder="1" applyAlignment="1">
      <alignment horizontal="center"/>
    </xf>
    <xf numFmtId="0" fontId="5" fillId="3" borderId="3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1" fillId="4" borderId="5" xfId="0" applyFont="1" applyFill="1" applyBorder="1" applyAlignment="1">
      <alignment horizontal="center"/>
    </xf>
    <xf numFmtId="0" fontId="7" fillId="0" borderId="3" xfId="1" applyFont="1" applyBorder="1" applyAlignment="1">
      <alignment horizontal="center"/>
    </xf>
    <xf numFmtId="0" fontId="14" fillId="0" borderId="3" xfId="1" applyFont="1" applyBorder="1" applyAlignment="1">
      <alignment horizontal="center"/>
    </xf>
    <xf numFmtId="0" fontId="14" fillId="0" borderId="3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0" fillId="0" borderId="7" xfId="0" applyBorder="1"/>
    <xf numFmtId="0" fontId="3" fillId="0" borderId="13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0" fillId="0" borderId="3" xfId="0" applyBorder="1"/>
    <xf numFmtId="0" fontId="7" fillId="0" borderId="18" xfId="0" applyFont="1" applyBorder="1" applyAlignment="1">
      <alignment horizontal="center"/>
    </xf>
    <xf numFmtId="0" fontId="0" fillId="0" borderId="2" xfId="0" applyBorder="1"/>
    <xf numFmtId="0" fontId="7" fillId="0" borderId="4" xfId="0" applyFont="1" applyBorder="1" applyAlignment="1">
      <alignment horizontal="center" wrapText="1"/>
    </xf>
    <xf numFmtId="0" fontId="7" fillId="0" borderId="3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/>
    </xf>
    <xf numFmtId="0" fontId="7" fillId="0" borderId="3" xfId="1" applyFont="1" applyBorder="1" applyAlignment="1">
      <alignment horizontal="center" wrapText="1"/>
    </xf>
    <xf numFmtId="0" fontId="15" fillId="0" borderId="10" xfId="0" applyFont="1" applyBorder="1" applyAlignment="1">
      <alignment horizontal="center"/>
    </xf>
    <xf numFmtId="0" fontId="16" fillId="12" borderId="0" xfId="0" applyFont="1" applyFill="1" applyAlignment="1">
      <alignment horizontal="center" vertical="center"/>
    </xf>
    <xf numFmtId="0" fontId="18" fillId="3" borderId="1" xfId="0" applyFont="1" applyFill="1" applyBorder="1" applyAlignment="1">
      <alignment horizontal="center" vertical="center"/>
    </xf>
    <xf numFmtId="0" fontId="18" fillId="3" borderId="10" xfId="0" applyFont="1" applyFill="1" applyBorder="1" applyAlignment="1">
      <alignment horizontal="center" vertical="center"/>
    </xf>
    <xf numFmtId="0" fontId="1" fillId="8" borderId="8" xfId="0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6" fillId="3" borderId="3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9" fillId="6" borderId="8" xfId="0" applyFont="1" applyFill="1" applyBorder="1" applyAlignment="1">
      <alignment horizontal="center" vertical="center"/>
    </xf>
    <xf numFmtId="0" fontId="11" fillId="3" borderId="14" xfId="0" applyFont="1" applyFill="1" applyBorder="1" applyAlignment="1">
      <alignment horizontal="center"/>
    </xf>
    <xf numFmtId="0" fontId="11" fillId="3" borderId="15" xfId="0" applyFont="1" applyFill="1" applyBorder="1" applyAlignment="1">
      <alignment horizontal="center"/>
    </xf>
    <xf numFmtId="0" fontId="11" fillId="3" borderId="16" xfId="0" applyFont="1" applyFill="1" applyBorder="1" applyAlignment="1">
      <alignment horizontal="center"/>
    </xf>
    <xf numFmtId="0" fontId="11" fillId="3" borderId="17" xfId="0" applyFont="1" applyFill="1" applyBorder="1" applyAlignment="1">
      <alignment horizontal="center"/>
    </xf>
    <xf numFmtId="0" fontId="6" fillId="3" borderId="19" xfId="0" applyFont="1" applyFill="1" applyBorder="1" applyAlignment="1">
      <alignment horizontal="center"/>
    </xf>
    <xf numFmtId="0" fontId="6" fillId="3" borderId="2" xfId="0" applyFont="1" applyFill="1" applyBorder="1" applyAlignment="1">
      <alignment horizontal="center"/>
    </xf>
    <xf numFmtId="0" fontId="1" fillId="10" borderId="8" xfId="0" applyFont="1" applyFill="1" applyBorder="1" applyAlignment="1">
      <alignment horizontal="center" vertical="center"/>
    </xf>
    <xf numFmtId="0" fontId="17" fillId="3" borderId="3" xfId="0" applyFont="1" applyFill="1" applyBorder="1" applyAlignment="1">
      <alignment horizontal="center" vertical="center"/>
    </xf>
    <xf numFmtId="0" fontId="2" fillId="0" borderId="5" xfId="0" applyFont="1" applyBorder="1" applyAlignment="1"/>
    <xf numFmtId="0" fontId="10" fillId="7" borderId="9" xfId="0" applyFont="1" applyFill="1" applyBorder="1" applyAlignment="1"/>
    <xf numFmtId="0" fontId="2" fillId="9" borderId="9" xfId="0" applyFont="1" applyFill="1" applyBorder="1" applyAlignment="1"/>
    <xf numFmtId="0" fontId="2" fillId="11" borderId="9" xfId="0" applyFont="1" applyFill="1" applyBorder="1" applyAlignment="1"/>
  </cellXfs>
  <cellStyles count="2">
    <cellStyle name="Normal" xfId="0" builtinId="0"/>
    <cellStyle name="Normal 2" xfId="1" xr:uid="{017A9FE2-C0D5-4F6E-9045-6A581747530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zoomScaleNormal="100" workbookViewId="0">
      <selection activeCell="B16" sqref="B16"/>
    </sheetView>
  </sheetViews>
  <sheetFormatPr defaultColWidth="14.42578125" defaultRowHeight="15" customHeight="1"/>
  <cols>
    <col min="1" max="1" width="20.5703125" customWidth="1"/>
    <col min="2" max="2" width="92.7109375" customWidth="1"/>
    <col min="3" max="3" width="22.140625" customWidth="1"/>
    <col min="4" max="4" width="19.140625" customWidth="1"/>
    <col min="5" max="5" width="22.140625" customWidth="1"/>
    <col min="6" max="6" width="21" customWidth="1"/>
    <col min="7" max="26" width="8.7109375" customWidth="1"/>
  </cols>
  <sheetData>
    <row r="1" spans="1:26" ht="15.6">
      <c r="A1" s="35" t="s">
        <v>0</v>
      </c>
      <c r="B1" s="36"/>
      <c r="C1" s="36"/>
      <c r="D1" s="36"/>
      <c r="E1" s="36"/>
      <c r="F1" s="36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45">
      <c r="A2" s="2" t="s">
        <v>1</v>
      </c>
      <c r="B2" s="3"/>
      <c r="C2" s="7" t="s">
        <v>2</v>
      </c>
      <c r="D2" s="37">
        <f>SUM(C4:C26)</f>
        <v>15</v>
      </c>
      <c r="E2" s="37"/>
      <c r="F2" s="37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6">
      <c r="A3" s="4" t="s">
        <v>3</v>
      </c>
      <c r="B3" s="4" t="s">
        <v>4</v>
      </c>
      <c r="C3" s="4" t="s">
        <v>5</v>
      </c>
      <c r="D3" s="8" t="s">
        <v>6</v>
      </c>
      <c r="E3" s="8" t="s">
        <v>7</v>
      </c>
      <c r="F3" s="8" t="s">
        <v>8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45">
      <c r="A4" s="5">
        <v>1</v>
      </c>
      <c r="B4" s="5" t="s">
        <v>9</v>
      </c>
      <c r="C4" s="6">
        <v>0.5</v>
      </c>
      <c r="D4" s="6">
        <v>0</v>
      </c>
      <c r="E4" s="6">
        <v>0</v>
      </c>
      <c r="F4" s="6">
        <v>0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45">
      <c r="A5" s="5">
        <v>2</v>
      </c>
      <c r="B5" s="5" t="s">
        <v>10</v>
      </c>
      <c r="C5" s="6">
        <v>0.5</v>
      </c>
      <c r="D5" s="6">
        <v>0</v>
      </c>
      <c r="E5" s="6">
        <v>0</v>
      </c>
      <c r="F5" s="6">
        <v>0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.45">
      <c r="A6" s="5">
        <v>3</v>
      </c>
      <c r="B6" s="5" t="s">
        <v>11</v>
      </c>
      <c r="C6" s="6">
        <v>1</v>
      </c>
      <c r="D6" s="6">
        <v>0</v>
      </c>
      <c r="E6" s="6">
        <v>0</v>
      </c>
      <c r="F6" s="6">
        <v>0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45">
      <c r="A7" s="5">
        <v>4</v>
      </c>
      <c r="B7" s="5" t="s">
        <v>12</v>
      </c>
      <c r="C7" s="6">
        <v>1</v>
      </c>
      <c r="D7" s="6">
        <v>0</v>
      </c>
      <c r="E7" s="6">
        <v>0</v>
      </c>
      <c r="F7" s="6">
        <v>0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45">
      <c r="A8" s="5">
        <v>5</v>
      </c>
      <c r="B8" s="5" t="s">
        <v>13</v>
      </c>
      <c r="C8" s="6">
        <v>0.5</v>
      </c>
      <c r="D8" s="6">
        <v>0</v>
      </c>
      <c r="E8" s="6">
        <v>0</v>
      </c>
      <c r="F8" s="6">
        <v>0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45">
      <c r="A9" s="5">
        <v>6</v>
      </c>
      <c r="B9" s="5" t="s">
        <v>14</v>
      </c>
      <c r="C9" s="6">
        <v>1</v>
      </c>
      <c r="D9" s="6">
        <v>0</v>
      </c>
      <c r="E9" s="6">
        <v>0</v>
      </c>
      <c r="F9" s="6">
        <v>0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.45">
      <c r="A10" s="5">
        <v>7</v>
      </c>
      <c r="B10" s="5" t="s">
        <v>15</v>
      </c>
      <c r="C10" s="6">
        <v>1</v>
      </c>
      <c r="D10" s="6">
        <v>0</v>
      </c>
      <c r="E10" s="6">
        <v>0</v>
      </c>
      <c r="F10" s="6">
        <v>0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.45">
      <c r="A11" s="5">
        <v>8</v>
      </c>
      <c r="B11" s="5" t="s">
        <v>16</v>
      </c>
      <c r="C11" s="6">
        <v>0.5</v>
      </c>
      <c r="D11" s="6">
        <v>0</v>
      </c>
      <c r="E11" s="6">
        <v>0</v>
      </c>
      <c r="F11" s="6">
        <v>0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45">
      <c r="A12" s="5">
        <v>9</v>
      </c>
      <c r="B12" s="5" t="s">
        <v>17</v>
      </c>
      <c r="C12" s="6">
        <v>1</v>
      </c>
      <c r="D12" s="6">
        <v>0</v>
      </c>
      <c r="E12" s="6">
        <v>0</v>
      </c>
      <c r="F12" s="6">
        <v>0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45">
      <c r="A13" s="5">
        <v>10</v>
      </c>
      <c r="B13" s="5" t="s">
        <v>18</v>
      </c>
      <c r="C13" s="6">
        <v>1</v>
      </c>
      <c r="D13" s="6">
        <v>0</v>
      </c>
      <c r="E13" s="6">
        <v>0</v>
      </c>
      <c r="F13" s="6">
        <v>0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45">
      <c r="A14" s="5">
        <v>11</v>
      </c>
      <c r="B14" s="5" t="s">
        <v>19</v>
      </c>
      <c r="C14" s="6">
        <v>1</v>
      </c>
      <c r="D14" s="6">
        <v>0</v>
      </c>
      <c r="E14" s="6">
        <v>0</v>
      </c>
      <c r="F14" s="6">
        <v>0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45">
      <c r="A15" s="5">
        <v>12</v>
      </c>
      <c r="B15" s="5" t="s">
        <v>20</v>
      </c>
      <c r="C15" s="6">
        <v>1</v>
      </c>
      <c r="D15" s="6">
        <v>0</v>
      </c>
      <c r="E15" s="6">
        <v>0</v>
      </c>
      <c r="F15" s="6">
        <v>0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45">
      <c r="A16" s="5">
        <v>13</v>
      </c>
      <c r="B16" s="5" t="s">
        <v>21</v>
      </c>
      <c r="C16" s="6">
        <v>1</v>
      </c>
      <c r="D16" s="6">
        <v>0</v>
      </c>
      <c r="E16" s="6">
        <v>0</v>
      </c>
      <c r="F16" s="6">
        <v>0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45">
      <c r="A17" s="5">
        <v>14</v>
      </c>
      <c r="B17" s="5" t="s">
        <v>22</v>
      </c>
      <c r="C17" s="6">
        <v>0.5</v>
      </c>
      <c r="D17" s="6">
        <v>0</v>
      </c>
      <c r="E17" s="6">
        <v>0</v>
      </c>
      <c r="F17" s="6">
        <v>0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45">
      <c r="A18" s="5">
        <v>15</v>
      </c>
      <c r="B18" s="5" t="s">
        <v>23</v>
      </c>
      <c r="C18" s="6">
        <v>1</v>
      </c>
      <c r="D18" s="6">
        <v>0</v>
      </c>
      <c r="E18" s="6">
        <v>0</v>
      </c>
      <c r="F18" s="6">
        <v>0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45">
      <c r="A19" s="5">
        <v>16</v>
      </c>
      <c r="B19" s="5" t="s">
        <v>24</v>
      </c>
      <c r="C19" s="6">
        <v>1</v>
      </c>
      <c r="D19" s="6">
        <v>0</v>
      </c>
      <c r="E19" s="6">
        <v>0</v>
      </c>
      <c r="F19" s="6">
        <v>0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45">
      <c r="A20" s="5">
        <v>17</v>
      </c>
      <c r="B20" s="5" t="s">
        <v>25</v>
      </c>
      <c r="C20" s="6">
        <v>1</v>
      </c>
      <c r="D20" s="6">
        <v>0</v>
      </c>
      <c r="E20" s="6">
        <v>0</v>
      </c>
      <c r="F20" s="6">
        <v>0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>
      <c r="A21" s="5">
        <v>18</v>
      </c>
      <c r="B21" s="5" t="s">
        <v>26</v>
      </c>
      <c r="C21" s="6">
        <v>0.5</v>
      </c>
      <c r="D21" s="6">
        <v>0</v>
      </c>
      <c r="E21" s="6">
        <v>0</v>
      </c>
      <c r="F21" s="6">
        <v>0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>
      <c r="A22" s="5"/>
      <c r="B22" s="5"/>
      <c r="C22" s="6"/>
      <c r="D22" s="6"/>
      <c r="E22" s="6"/>
      <c r="F22" s="6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>
      <c r="A23" s="5"/>
      <c r="B23" s="5"/>
      <c r="C23" s="6"/>
      <c r="D23" s="6"/>
      <c r="E23" s="6"/>
      <c r="F23" s="6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>
      <c r="A24" s="5"/>
      <c r="B24" s="5"/>
      <c r="C24" s="6"/>
      <c r="D24" s="6"/>
      <c r="E24" s="6"/>
      <c r="F24" s="6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>
      <c r="A25" s="5"/>
      <c r="B25" s="5"/>
      <c r="C25" s="6"/>
      <c r="D25" s="6"/>
      <c r="E25" s="6"/>
      <c r="F25" s="6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>
      <c r="A26" s="5"/>
      <c r="B26" s="5"/>
      <c r="C26" s="6"/>
      <c r="D26" s="6"/>
      <c r="E26" s="6"/>
      <c r="F26" s="6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>
      <c r="A27" s="1"/>
      <c r="B27" s="1"/>
      <c r="C27" s="38" t="s">
        <v>27</v>
      </c>
      <c r="D27" s="39">
        <f>SUM(D4:D26)</f>
        <v>0</v>
      </c>
      <c r="E27" s="39">
        <f>SUM(E4:E26)</f>
        <v>0</v>
      </c>
      <c r="F27" s="39">
        <f>SUM(F4:F26)</f>
        <v>0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>
      <c r="A28" s="1"/>
      <c r="B28" s="1"/>
      <c r="C28" s="49"/>
      <c r="D28" s="49"/>
      <c r="E28" s="49"/>
      <c r="F28" s="49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>
      <c r="A30" s="1"/>
      <c r="B30" s="1"/>
      <c r="C30" s="40" t="s">
        <v>28</v>
      </c>
      <c r="D30" s="41">
        <f>AVERAGE(D27:F28)</f>
        <v>0</v>
      </c>
      <c r="E30" s="42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>
      <c r="A31" s="1"/>
      <c r="B31" s="1"/>
      <c r="C31" s="50"/>
      <c r="D31" s="43"/>
      <c r="E31" s="44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8">
    <mergeCell ref="F27:F28"/>
    <mergeCell ref="D2:F2"/>
    <mergeCell ref="A1:F1"/>
    <mergeCell ref="C30:C31"/>
    <mergeCell ref="D30:E31"/>
    <mergeCell ref="C27:C28"/>
    <mergeCell ref="D27:D28"/>
    <mergeCell ref="E27:E28"/>
  </mergeCells>
  <phoneticPr fontId="8" type="noConversion"/>
  <pageMargins left="0.511811024" right="0.511811024" top="0.78740157499999996" bottom="0.78740157499999996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86634-FC3C-4F1A-890F-343F1D9CB884}">
  <dimension ref="A1:Z999"/>
  <sheetViews>
    <sheetView zoomScaleNormal="100" workbookViewId="0">
      <selection activeCell="B2" sqref="B2"/>
    </sheetView>
  </sheetViews>
  <sheetFormatPr defaultColWidth="14.42578125" defaultRowHeight="15" customHeight="1"/>
  <cols>
    <col min="1" max="1" width="20.5703125" customWidth="1"/>
    <col min="2" max="2" width="92.7109375" customWidth="1"/>
    <col min="3" max="3" width="22.140625" customWidth="1"/>
    <col min="4" max="4" width="19.7109375" customWidth="1"/>
    <col min="5" max="5" width="22.140625" customWidth="1"/>
    <col min="6" max="6" width="19.140625" customWidth="1"/>
    <col min="7" max="26" width="8.7109375" customWidth="1"/>
  </cols>
  <sheetData>
    <row r="1" spans="1:26" ht="15.6">
      <c r="A1" s="35" t="s">
        <v>0</v>
      </c>
      <c r="B1" s="36"/>
      <c r="C1" s="36"/>
      <c r="D1" s="36"/>
      <c r="E1" s="36"/>
      <c r="F1" s="36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45">
      <c r="A2" s="2" t="s">
        <v>1</v>
      </c>
      <c r="B2" s="3"/>
      <c r="C2" s="7" t="s">
        <v>2</v>
      </c>
      <c r="D2" s="37">
        <f>SUM(C4:C26)</f>
        <v>20</v>
      </c>
      <c r="E2" s="37"/>
      <c r="F2" s="37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6">
      <c r="A3" s="4" t="s">
        <v>3</v>
      </c>
      <c r="B3" s="4" t="s">
        <v>4</v>
      </c>
      <c r="C3" s="4" t="s">
        <v>5</v>
      </c>
      <c r="D3" s="8" t="s">
        <v>6</v>
      </c>
      <c r="E3" s="8" t="s">
        <v>7</v>
      </c>
      <c r="F3" s="8" t="s">
        <v>8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45">
      <c r="A4" s="5">
        <v>1</v>
      </c>
      <c r="B4" s="10" t="s">
        <v>29</v>
      </c>
      <c r="C4" s="6">
        <v>0.5</v>
      </c>
      <c r="D4" s="6">
        <v>0</v>
      </c>
      <c r="E4" s="6">
        <v>0</v>
      </c>
      <c r="F4" s="6">
        <v>0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45">
      <c r="A5" s="5">
        <v>2</v>
      </c>
      <c r="B5" s="9" t="s">
        <v>30</v>
      </c>
      <c r="C5" s="6">
        <v>1</v>
      </c>
      <c r="D5" s="6">
        <v>0</v>
      </c>
      <c r="E5" s="6">
        <v>0</v>
      </c>
      <c r="F5" s="6">
        <v>0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.45">
      <c r="A6" s="5">
        <v>3</v>
      </c>
      <c r="B6" s="9" t="s">
        <v>31</v>
      </c>
      <c r="C6" s="6">
        <v>1</v>
      </c>
      <c r="D6" s="6">
        <v>0</v>
      </c>
      <c r="E6" s="6">
        <v>0</v>
      </c>
      <c r="F6" s="6">
        <v>0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45">
      <c r="A7" s="12">
        <v>4</v>
      </c>
      <c r="B7" s="9" t="s">
        <v>32</v>
      </c>
      <c r="C7" s="14">
        <v>1</v>
      </c>
      <c r="D7" s="6">
        <v>0</v>
      </c>
      <c r="E7" s="6">
        <v>0</v>
      </c>
      <c r="F7" s="6">
        <v>0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45">
      <c r="A8" s="12">
        <v>5</v>
      </c>
      <c r="B8" s="9" t="s">
        <v>33</v>
      </c>
      <c r="C8" s="14">
        <v>0.5</v>
      </c>
      <c r="D8" s="6">
        <v>0</v>
      </c>
      <c r="E8" s="6">
        <v>0</v>
      </c>
      <c r="F8" s="6">
        <v>0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45">
      <c r="A9" s="12">
        <v>6</v>
      </c>
      <c r="B9" s="9" t="s">
        <v>34</v>
      </c>
      <c r="C9" s="14">
        <v>1</v>
      </c>
      <c r="D9" s="6">
        <v>0</v>
      </c>
      <c r="E9" s="6">
        <v>0</v>
      </c>
      <c r="F9" s="6">
        <v>0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.45">
      <c r="A10" s="12">
        <v>7</v>
      </c>
      <c r="B10" s="9" t="s">
        <v>35</v>
      </c>
      <c r="C10" s="14">
        <v>1</v>
      </c>
      <c r="D10" s="6">
        <v>0</v>
      </c>
      <c r="E10" s="6">
        <v>0</v>
      </c>
      <c r="F10" s="6">
        <v>0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.45">
      <c r="A11" s="12">
        <v>8</v>
      </c>
      <c r="B11" s="5" t="s">
        <v>36</v>
      </c>
      <c r="C11" s="14">
        <v>1</v>
      </c>
      <c r="D11" s="6">
        <v>0</v>
      </c>
      <c r="E11" s="6">
        <v>0</v>
      </c>
      <c r="F11" s="6">
        <v>0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45">
      <c r="A12" s="12">
        <v>9</v>
      </c>
      <c r="B12" s="11" t="s">
        <v>37</v>
      </c>
      <c r="C12" s="14">
        <v>1</v>
      </c>
      <c r="D12" s="6">
        <v>0</v>
      </c>
      <c r="E12" s="6">
        <v>0</v>
      </c>
      <c r="F12" s="6">
        <v>0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45">
      <c r="A13" s="12">
        <v>10</v>
      </c>
      <c r="B13" s="13" t="s">
        <v>38</v>
      </c>
      <c r="C13" s="14">
        <v>1</v>
      </c>
      <c r="D13" s="6">
        <v>0</v>
      </c>
      <c r="E13" s="6">
        <v>0</v>
      </c>
      <c r="F13" s="6">
        <v>0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45">
      <c r="A14" s="12">
        <v>11</v>
      </c>
      <c r="B14" s="13" t="s">
        <v>39</v>
      </c>
      <c r="C14" s="14">
        <v>1</v>
      </c>
      <c r="D14" s="6">
        <v>0</v>
      </c>
      <c r="E14" s="6">
        <v>0</v>
      </c>
      <c r="F14" s="6">
        <v>0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45">
      <c r="A15" s="12">
        <v>12</v>
      </c>
      <c r="B15" s="13" t="s">
        <v>40</v>
      </c>
      <c r="C15" s="14">
        <v>1</v>
      </c>
      <c r="D15" s="6">
        <v>0</v>
      </c>
      <c r="E15" s="6">
        <v>0</v>
      </c>
      <c r="F15" s="6">
        <v>0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45">
      <c r="A16" s="5">
        <v>13</v>
      </c>
      <c r="B16" s="13" t="s">
        <v>41</v>
      </c>
      <c r="C16" s="14">
        <v>1</v>
      </c>
      <c r="D16" s="6">
        <v>0</v>
      </c>
      <c r="E16" s="6">
        <v>0</v>
      </c>
      <c r="F16" s="6">
        <v>0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45">
      <c r="A17" s="12">
        <v>14</v>
      </c>
      <c r="B17" s="13" t="s">
        <v>42</v>
      </c>
      <c r="C17" s="14">
        <v>1</v>
      </c>
      <c r="D17" s="6">
        <v>0</v>
      </c>
      <c r="E17" s="6">
        <v>0</v>
      </c>
      <c r="F17" s="6">
        <v>0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45">
      <c r="A18" s="12">
        <v>15</v>
      </c>
      <c r="B18" s="13" t="s">
        <v>43</v>
      </c>
      <c r="C18" s="14">
        <v>1</v>
      </c>
      <c r="D18" s="6">
        <v>0</v>
      </c>
      <c r="E18" s="6">
        <v>0</v>
      </c>
      <c r="F18" s="6">
        <v>0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45">
      <c r="A19" s="12">
        <v>16</v>
      </c>
      <c r="B19" s="13" t="s">
        <v>44</v>
      </c>
      <c r="C19" s="14">
        <v>1</v>
      </c>
      <c r="D19" s="6">
        <v>0</v>
      </c>
      <c r="E19" s="6">
        <v>0</v>
      </c>
      <c r="F19" s="6">
        <v>0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>
      <c r="A20" s="12">
        <v>17</v>
      </c>
      <c r="B20" s="13" t="s">
        <v>45</v>
      </c>
      <c r="C20" s="14">
        <v>1</v>
      </c>
      <c r="D20" s="6">
        <v>0</v>
      </c>
      <c r="E20" s="6">
        <v>0</v>
      </c>
      <c r="F20" s="6">
        <v>0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>
      <c r="A21" s="12">
        <v>18</v>
      </c>
      <c r="B21" s="13" t="s">
        <v>46</v>
      </c>
      <c r="C21" s="14">
        <v>1</v>
      </c>
      <c r="D21" s="6">
        <v>0</v>
      </c>
      <c r="E21" s="6">
        <v>0</v>
      </c>
      <c r="F21" s="6">
        <v>0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>
      <c r="A22" s="12">
        <v>19</v>
      </c>
      <c r="B22" s="13" t="s">
        <v>47</v>
      </c>
      <c r="C22" s="14">
        <v>1</v>
      </c>
      <c r="D22" s="6">
        <v>0</v>
      </c>
      <c r="E22" s="6">
        <v>0</v>
      </c>
      <c r="F22" s="6">
        <v>0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>
      <c r="A23" s="12">
        <v>20</v>
      </c>
      <c r="B23" s="21" t="s">
        <v>48</v>
      </c>
      <c r="C23" s="14">
        <v>1</v>
      </c>
      <c r="D23" s="6">
        <v>0</v>
      </c>
      <c r="E23" s="6">
        <v>0</v>
      </c>
      <c r="F23" s="6">
        <v>0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>
      <c r="A24" s="12" t="s">
        <v>49</v>
      </c>
      <c r="B24" s="21" t="s">
        <v>50</v>
      </c>
      <c r="C24" s="15">
        <v>1</v>
      </c>
      <c r="D24" s="6">
        <v>0</v>
      </c>
      <c r="E24" s="6">
        <v>0</v>
      </c>
      <c r="F24" s="6">
        <v>0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>
      <c r="A25" s="12">
        <v>22</v>
      </c>
      <c r="B25" s="20"/>
      <c r="C25" s="15"/>
      <c r="D25" s="6"/>
      <c r="E25" s="6"/>
      <c r="F25" s="6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>
      <c r="A26" s="12"/>
      <c r="B26" s="20"/>
      <c r="C26" s="14"/>
      <c r="D26" s="6"/>
      <c r="E26" s="6"/>
      <c r="F26" s="6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>
      <c r="A27" s="1"/>
      <c r="B27" s="22"/>
      <c r="C27" s="38" t="s">
        <v>27</v>
      </c>
      <c r="D27" s="39">
        <f>SUM(D4:D26)</f>
        <v>0</v>
      </c>
      <c r="E27" s="39">
        <f>SUM(E4:E26)</f>
        <v>0</v>
      </c>
      <c r="F27" s="39">
        <f>SUM(F4:F26)</f>
        <v>0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>
      <c r="A28" s="1"/>
      <c r="C28" s="49"/>
      <c r="D28" s="49"/>
      <c r="E28" s="49"/>
      <c r="F28" s="49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>
      <c r="A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>
      <c r="A30" s="1"/>
      <c r="C30" s="33" t="s">
        <v>51</v>
      </c>
      <c r="D30" s="34">
        <f>AVERAGE(D27:F28)</f>
        <v>0</v>
      </c>
      <c r="E30" s="34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>
      <c r="A31" s="1"/>
      <c r="C31" s="51"/>
      <c r="D31" s="34"/>
      <c r="E31" s="34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>
      <c r="A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>
      <c r="A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</sheetData>
  <mergeCells count="8">
    <mergeCell ref="F27:F28"/>
    <mergeCell ref="D2:F2"/>
    <mergeCell ref="A1:F1"/>
    <mergeCell ref="C30:C31"/>
    <mergeCell ref="D30:E31"/>
    <mergeCell ref="C27:C28"/>
    <mergeCell ref="D27:D28"/>
    <mergeCell ref="E27:E28"/>
  </mergeCells>
  <pageMargins left="0.511811024" right="0.511811024" top="0.78740157499999996" bottom="0.78740157499999996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2124B-D17C-42F4-96F1-D26422918984}">
  <dimension ref="A1:Z1001"/>
  <sheetViews>
    <sheetView zoomScaleNormal="100" workbookViewId="0">
      <selection activeCell="B2" sqref="B2"/>
    </sheetView>
  </sheetViews>
  <sheetFormatPr defaultColWidth="14.42578125" defaultRowHeight="15" customHeight="1"/>
  <cols>
    <col min="1" max="1" width="20.5703125" customWidth="1"/>
    <col min="2" max="2" width="100.85546875" customWidth="1"/>
    <col min="3" max="3" width="25.28515625" customWidth="1"/>
    <col min="4" max="4" width="17.7109375" customWidth="1"/>
    <col min="5" max="5" width="22.140625" customWidth="1"/>
    <col min="6" max="6" width="21.28515625" customWidth="1"/>
    <col min="7" max="26" width="8.7109375" customWidth="1"/>
  </cols>
  <sheetData>
    <row r="1" spans="1:26" ht="15.6">
      <c r="A1" s="35" t="s">
        <v>0</v>
      </c>
      <c r="B1" s="36"/>
      <c r="C1" s="36"/>
      <c r="D1" s="36"/>
      <c r="E1" s="36"/>
      <c r="F1" s="36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45">
      <c r="A2" s="2" t="s">
        <v>1</v>
      </c>
      <c r="B2" s="3"/>
      <c r="C2" s="7" t="s">
        <v>2</v>
      </c>
      <c r="D2" s="45">
        <f>SUM(C4:C28)</f>
        <v>25</v>
      </c>
      <c r="E2" s="46"/>
      <c r="F2" s="46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6">
      <c r="A3" s="4" t="s">
        <v>3</v>
      </c>
      <c r="B3" s="4" t="s">
        <v>4</v>
      </c>
      <c r="C3" s="4" t="s">
        <v>5</v>
      </c>
      <c r="D3" s="8" t="s">
        <v>6</v>
      </c>
      <c r="E3" s="8" t="s">
        <v>7</v>
      </c>
      <c r="F3" s="8" t="s">
        <v>8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45">
      <c r="A4" s="5">
        <v>1</v>
      </c>
      <c r="B4" s="11" t="s">
        <v>52</v>
      </c>
      <c r="C4" s="14">
        <v>3</v>
      </c>
      <c r="D4" s="14">
        <v>0</v>
      </c>
      <c r="E4" s="14">
        <v>0</v>
      </c>
      <c r="F4" s="14">
        <v>0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8" customHeight="1">
      <c r="A5" s="5">
        <v>2</v>
      </c>
      <c r="B5" s="23" t="s">
        <v>53</v>
      </c>
      <c r="C5" s="29">
        <v>1</v>
      </c>
      <c r="D5" s="14">
        <v>0</v>
      </c>
      <c r="E5" s="14">
        <v>0</v>
      </c>
      <c r="F5" s="14">
        <v>0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.45">
      <c r="A6" s="5">
        <v>3</v>
      </c>
      <c r="B6" s="13" t="s">
        <v>54</v>
      </c>
      <c r="C6" s="6">
        <v>3</v>
      </c>
      <c r="D6" s="14">
        <v>0</v>
      </c>
      <c r="E6" s="14">
        <v>0</v>
      </c>
      <c r="F6" s="14">
        <v>0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45">
      <c r="A7" s="12">
        <v>4</v>
      </c>
      <c r="B7" s="13" t="s">
        <v>55</v>
      </c>
      <c r="C7" s="14">
        <v>1</v>
      </c>
      <c r="D7" s="14">
        <v>0</v>
      </c>
      <c r="E7" s="14">
        <v>0</v>
      </c>
      <c r="F7" s="14">
        <v>0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45">
      <c r="A8" s="12">
        <v>5</v>
      </c>
      <c r="B8" s="13" t="s">
        <v>56</v>
      </c>
      <c r="C8" s="14">
        <v>3</v>
      </c>
      <c r="D8" s="14">
        <v>0</v>
      </c>
      <c r="E8" s="14">
        <v>0</v>
      </c>
      <c r="F8" s="14">
        <v>0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12">
        <v>6</v>
      </c>
      <c r="B9" s="13" t="s">
        <v>55</v>
      </c>
      <c r="C9" s="29">
        <v>1</v>
      </c>
      <c r="D9" s="14">
        <v>0</v>
      </c>
      <c r="E9" s="14">
        <v>0</v>
      </c>
      <c r="F9" s="14">
        <v>0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.45">
      <c r="A10" s="12">
        <v>7</v>
      </c>
      <c r="B10" s="13" t="s">
        <v>57</v>
      </c>
      <c r="C10" s="14">
        <v>2</v>
      </c>
      <c r="D10" s="14">
        <v>0</v>
      </c>
      <c r="E10" s="14">
        <v>0</v>
      </c>
      <c r="F10" s="14">
        <v>0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12">
        <v>8</v>
      </c>
      <c r="B11" s="13" t="s">
        <v>55</v>
      </c>
      <c r="C11" s="29">
        <v>1</v>
      </c>
      <c r="D11" s="14">
        <v>0</v>
      </c>
      <c r="E11" s="14">
        <v>0</v>
      </c>
      <c r="F11" s="14">
        <v>0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45">
      <c r="A12" s="12">
        <v>9</v>
      </c>
      <c r="B12" s="13" t="s">
        <v>58</v>
      </c>
      <c r="C12" s="14">
        <v>1</v>
      </c>
      <c r="D12" s="14">
        <v>0</v>
      </c>
      <c r="E12" s="14">
        <v>0</v>
      </c>
      <c r="F12" s="14">
        <v>0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45">
      <c r="A13" s="12">
        <v>10</v>
      </c>
      <c r="B13" s="13" t="s">
        <v>59</v>
      </c>
      <c r="C13" s="14">
        <v>3</v>
      </c>
      <c r="D13" s="14">
        <v>0</v>
      </c>
      <c r="E13" s="14">
        <v>0</v>
      </c>
      <c r="F13" s="14">
        <v>0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45">
      <c r="A14" s="12">
        <v>11</v>
      </c>
      <c r="B14" s="13" t="s">
        <v>60</v>
      </c>
      <c r="C14" s="14">
        <v>3</v>
      </c>
      <c r="D14" s="14">
        <v>0</v>
      </c>
      <c r="E14" s="14">
        <v>0</v>
      </c>
      <c r="F14" s="14">
        <v>0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2">
        <v>12</v>
      </c>
      <c r="B15" s="13" t="s">
        <v>61</v>
      </c>
      <c r="C15" s="14">
        <v>1</v>
      </c>
      <c r="D15" s="14">
        <v>0</v>
      </c>
      <c r="E15" s="14">
        <v>0</v>
      </c>
      <c r="F15" s="14">
        <v>0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45">
      <c r="A16" s="12">
        <v>13</v>
      </c>
      <c r="B16" s="13" t="s">
        <v>62</v>
      </c>
      <c r="C16" s="14">
        <v>1</v>
      </c>
      <c r="D16" s="14">
        <v>0</v>
      </c>
      <c r="E16" s="14">
        <v>0</v>
      </c>
      <c r="F16" s="14">
        <v>0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45">
      <c r="A17" s="12">
        <v>14</v>
      </c>
      <c r="B17" s="13" t="s">
        <v>50</v>
      </c>
      <c r="C17" s="14">
        <v>1</v>
      </c>
      <c r="D17" s="14">
        <v>0</v>
      </c>
      <c r="E17" s="14">
        <v>0</v>
      </c>
      <c r="F17" s="14">
        <v>0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45">
      <c r="A18" s="12"/>
      <c r="B18" s="16"/>
      <c r="C18" s="14"/>
      <c r="D18" s="6"/>
      <c r="E18" s="6"/>
      <c r="F18" s="6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45">
      <c r="A19" s="12"/>
      <c r="B19" s="16"/>
      <c r="C19" s="14"/>
      <c r="D19" s="6"/>
      <c r="E19" s="6"/>
      <c r="F19" s="6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45">
      <c r="A20" s="12"/>
      <c r="B20" s="16"/>
      <c r="C20" s="15"/>
      <c r="D20" s="6"/>
      <c r="E20" s="6"/>
      <c r="F20" s="6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45">
      <c r="A21" s="12"/>
      <c r="B21" s="16"/>
      <c r="C21" s="17"/>
      <c r="D21" s="14"/>
      <c r="E21" s="6"/>
      <c r="F21" s="6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>
      <c r="A22" s="12"/>
      <c r="B22" s="16"/>
      <c r="C22" s="18"/>
      <c r="D22" s="6"/>
      <c r="E22" s="6"/>
      <c r="F22" s="6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>
      <c r="A23" s="12"/>
      <c r="B23" s="16"/>
      <c r="C23" s="14"/>
      <c r="D23" s="6"/>
      <c r="E23" s="6"/>
      <c r="F23" s="6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>
      <c r="A24" s="12"/>
      <c r="B24" s="16"/>
      <c r="C24" s="14"/>
      <c r="D24" s="6"/>
      <c r="E24" s="6"/>
      <c r="F24" s="6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>
      <c r="A25" s="12"/>
      <c r="B25" s="16"/>
      <c r="C25" s="14"/>
      <c r="D25" s="6"/>
      <c r="E25" s="6"/>
      <c r="F25" s="6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>
      <c r="A26" s="12"/>
      <c r="B26" s="16"/>
      <c r="C26" s="14"/>
      <c r="D26" s="6"/>
      <c r="E26" s="6"/>
      <c r="F26" s="6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>
      <c r="A27" s="5"/>
      <c r="B27" s="19"/>
      <c r="C27" s="6"/>
      <c r="D27" s="6"/>
      <c r="E27" s="6"/>
      <c r="F27" s="6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>
      <c r="A28" s="5"/>
      <c r="B28" s="5"/>
      <c r="C28" s="6"/>
      <c r="D28" s="6"/>
      <c r="E28" s="6"/>
      <c r="F28" s="6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>
      <c r="A29" s="1"/>
      <c r="B29" s="1"/>
      <c r="C29" s="38" t="s">
        <v>27</v>
      </c>
      <c r="D29" s="39">
        <f>SUM(D4:D28)</f>
        <v>0</v>
      </c>
      <c r="E29" s="39">
        <f>SUM(E4:E28)</f>
        <v>0</v>
      </c>
      <c r="F29" s="39">
        <f>SUM(F4:F28)</f>
        <v>0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>
      <c r="A30" s="1"/>
      <c r="B30" s="1"/>
      <c r="C30" s="49"/>
      <c r="D30" s="49"/>
      <c r="E30" s="49"/>
      <c r="F30" s="49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>
      <c r="A32" s="1"/>
      <c r="B32" s="1"/>
      <c r="C32" s="33" t="s">
        <v>51</v>
      </c>
      <c r="D32" s="34">
        <f>AVERAGE(D29:E30)</f>
        <v>0</v>
      </c>
      <c r="E32" s="34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>
      <c r="A33" s="1"/>
      <c r="B33" s="1"/>
      <c r="C33" s="51"/>
      <c r="D33" s="34"/>
      <c r="E33" s="34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>
      <c r="A35" s="1"/>
      <c r="B35" s="1"/>
      <c r="C35" s="47" t="s">
        <v>63</v>
      </c>
      <c r="D35" s="34">
        <f>SUM(D32,'CIS_MÓDULO 2'!D30:E31,CIS_MÓDULO1!D30)</f>
        <v>0</v>
      </c>
      <c r="E35" s="34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>
      <c r="A36" s="1"/>
      <c r="B36" s="1"/>
      <c r="C36" s="52"/>
      <c r="D36" s="34"/>
      <c r="E36" s="34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5.7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</sheetData>
  <mergeCells count="10">
    <mergeCell ref="F29:F30"/>
    <mergeCell ref="D2:F2"/>
    <mergeCell ref="A1:F1"/>
    <mergeCell ref="C35:C36"/>
    <mergeCell ref="D35:E36"/>
    <mergeCell ref="C29:C30"/>
    <mergeCell ref="D29:D30"/>
    <mergeCell ref="E29:E30"/>
    <mergeCell ref="C32:C33"/>
    <mergeCell ref="D32:E33"/>
  </mergeCells>
  <pageMargins left="0.511811024" right="0.511811024" top="0.78740157499999996" bottom="0.78740157499999996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71E93-3D5C-434E-A344-FEF98A2D832C}">
  <dimension ref="A1:Z999"/>
  <sheetViews>
    <sheetView zoomScaleNormal="100" workbookViewId="0">
      <selection activeCell="B2" sqref="B2"/>
    </sheetView>
  </sheetViews>
  <sheetFormatPr defaultColWidth="14.42578125" defaultRowHeight="15" customHeight="1"/>
  <cols>
    <col min="1" max="1" width="20.5703125" customWidth="1"/>
    <col min="2" max="2" width="92.7109375" customWidth="1"/>
    <col min="3" max="3" width="22.140625" customWidth="1"/>
    <col min="4" max="4" width="19.7109375" customWidth="1"/>
    <col min="5" max="5" width="22.140625" customWidth="1"/>
    <col min="6" max="6" width="19.140625" customWidth="1"/>
    <col min="7" max="26" width="8.7109375" customWidth="1"/>
  </cols>
  <sheetData>
    <row r="1" spans="1:26" ht="15.6">
      <c r="A1" s="35" t="s">
        <v>0</v>
      </c>
      <c r="B1" s="36"/>
      <c r="C1" s="36"/>
      <c r="D1" s="36"/>
      <c r="E1" s="36"/>
      <c r="F1" s="36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45">
      <c r="A2" s="2" t="s">
        <v>1</v>
      </c>
      <c r="B2" s="3"/>
      <c r="C2" s="7" t="s">
        <v>2</v>
      </c>
      <c r="D2" s="37">
        <f>SUM(C4:C26)</f>
        <v>30</v>
      </c>
      <c r="E2" s="37"/>
      <c r="F2" s="37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6">
      <c r="A3" s="4" t="s">
        <v>3</v>
      </c>
      <c r="B3" s="4" t="s">
        <v>4</v>
      </c>
      <c r="C3" s="4" t="s">
        <v>5</v>
      </c>
      <c r="D3" s="8" t="s">
        <v>6</v>
      </c>
      <c r="E3" s="8" t="s">
        <v>7</v>
      </c>
      <c r="F3" s="8" t="s">
        <v>8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24">
        <v>1</v>
      </c>
      <c r="B4" s="10" t="s">
        <v>29</v>
      </c>
      <c r="C4" s="6">
        <v>1</v>
      </c>
      <c r="D4" s="6">
        <v>0</v>
      </c>
      <c r="E4" s="6">
        <v>0</v>
      </c>
      <c r="F4" s="6">
        <v>0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24">
        <v>2</v>
      </c>
      <c r="B5" s="9" t="s">
        <v>30</v>
      </c>
      <c r="C5" s="6">
        <v>2</v>
      </c>
      <c r="D5" s="6">
        <v>0</v>
      </c>
      <c r="E5" s="6">
        <v>0</v>
      </c>
      <c r="F5" s="6">
        <v>0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24">
        <v>3</v>
      </c>
      <c r="B6" s="9" t="s">
        <v>31</v>
      </c>
      <c r="C6" s="6">
        <v>1</v>
      </c>
      <c r="D6" s="6">
        <v>0</v>
      </c>
      <c r="E6" s="6">
        <v>0</v>
      </c>
      <c r="F6" s="6">
        <v>0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25">
        <v>4</v>
      </c>
      <c r="B7" s="9" t="s">
        <v>32</v>
      </c>
      <c r="C7" s="14">
        <v>2</v>
      </c>
      <c r="D7" s="6">
        <v>0</v>
      </c>
      <c r="E7" s="6">
        <v>0</v>
      </c>
      <c r="F7" s="6">
        <v>0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25">
        <v>5</v>
      </c>
      <c r="B8" s="9" t="s">
        <v>33</v>
      </c>
      <c r="C8" s="14">
        <v>1</v>
      </c>
      <c r="D8" s="6">
        <v>0</v>
      </c>
      <c r="E8" s="6">
        <v>0</v>
      </c>
      <c r="F8" s="6">
        <v>0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25">
        <v>6</v>
      </c>
      <c r="B9" s="9" t="s">
        <v>34</v>
      </c>
      <c r="C9" s="14">
        <v>1</v>
      </c>
      <c r="D9" s="6">
        <v>0</v>
      </c>
      <c r="E9" s="6">
        <v>0</v>
      </c>
      <c r="F9" s="6">
        <v>0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25">
        <v>7</v>
      </c>
      <c r="B10" s="9" t="s">
        <v>64</v>
      </c>
      <c r="C10" s="14">
        <v>1</v>
      </c>
      <c r="D10" s="6">
        <v>0</v>
      </c>
      <c r="E10" s="6">
        <v>0</v>
      </c>
      <c r="F10" s="6">
        <v>0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43.5">
      <c r="A11" s="25">
        <v>8</v>
      </c>
      <c r="B11" s="26" t="s">
        <v>65</v>
      </c>
      <c r="C11" s="27">
        <v>3.5</v>
      </c>
      <c r="D11" s="6">
        <v>0</v>
      </c>
      <c r="E11" s="6">
        <v>0</v>
      </c>
      <c r="F11" s="6">
        <v>0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8.5">
      <c r="A12" s="25">
        <v>9</v>
      </c>
      <c r="B12" s="26" t="s">
        <v>66</v>
      </c>
      <c r="C12" s="27">
        <v>3.5</v>
      </c>
      <c r="D12" s="6">
        <v>0</v>
      </c>
      <c r="E12" s="6">
        <v>0</v>
      </c>
      <c r="F12" s="6">
        <v>0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43.5">
      <c r="A13" s="25">
        <v>10</v>
      </c>
      <c r="B13" s="26" t="s">
        <v>67</v>
      </c>
      <c r="C13" s="27">
        <v>3</v>
      </c>
      <c r="D13" s="6">
        <v>0</v>
      </c>
      <c r="E13" s="6">
        <v>0</v>
      </c>
      <c r="F13" s="6">
        <v>0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8.5">
      <c r="A14" s="25">
        <v>11</v>
      </c>
      <c r="B14" s="26" t="s">
        <v>68</v>
      </c>
      <c r="C14" s="14">
        <v>3</v>
      </c>
      <c r="D14" s="6">
        <v>0</v>
      </c>
      <c r="E14" s="6">
        <v>0</v>
      </c>
      <c r="F14" s="6">
        <v>0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8.5">
      <c r="A15" s="25">
        <v>12</v>
      </c>
      <c r="B15" s="26" t="s">
        <v>69</v>
      </c>
      <c r="C15" s="14">
        <v>3</v>
      </c>
      <c r="D15" s="6">
        <v>0</v>
      </c>
      <c r="E15" s="6">
        <v>0</v>
      </c>
      <c r="F15" s="6">
        <v>0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8.5">
      <c r="A16" s="24">
        <v>13</v>
      </c>
      <c r="B16" s="26" t="s">
        <v>70</v>
      </c>
      <c r="C16" s="14">
        <v>3</v>
      </c>
      <c r="D16" s="6">
        <v>0</v>
      </c>
      <c r="E16" s="6">
        <v>0</v>
      </c>
      <c r="F16" s="6">
        <v>0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25">
        <v>14</v>
      </c>
      <c r="B17" s="13" t="s">
        <v>50</v>
      </c>
      <c r="C17" s="14">
        <v>2</v>
      </c>
      <c r="D17" s="6">
        <v>0</v>
      </c>
      <c r="E17" s="6">
        <v>0</v>
      </c>
      <c r="F17" s="6">
        <v>0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25">
        <v>15</v>
      </c>
      <c r="B18" s="13"/>
      <c r="C18" s="14"/>
      <c r="D18" s="6"/>
      <c r="E18" s="6"/>
      <c r="F18" s="6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25">
        <v>16</v>
      </c>
      <c r="B19" s="13"/>
      <c r="C19" s="14"/>
      <c r="D19" s="6"/>
      <c r="E19" s="6"/>
      <c r="F19" s="6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>
      <c r="A20" s="25">
        <v>17</v>
      </c>
      <c r="B20" s="13"/>
      <c r="C20" s="14"/>
      <c r="D20" s="6"/>
      <c r="E20" s="6"/>
      <c r="F20" s="6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>
      <c r="A21" s="25">
        <v>18</v>
      </c>
      <c r="B21" s="13"/>
      <c r="C21" s="14"/>
      <c r="D21" s="6"/>
      <c r="E21" s="6"/>
      <c r="F21" s="6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>
      <c r="A22" s="25">
        <v>19</v>
      </c>
      <c r="B22" s="13"/>
      <c r="C22" s="14"/>
      <c r="D22" s="6"/>
      <c r="E22" s="6"/>
      <c r="F22" s="6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>
      <c r="A23" s="25">
        <v>20</v>
      </c>
      <c r="B23" s="21"/>
      <c r="C23" s="14"/>
      <c r="D23" s="6"/>
      <c r="E23" s="6"/>
      <c r="F23" s="6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>
      <c r="A24" s="25">
        <v>21</v>
      </c>
      <c r="B24" s="20"/>
      <c r="C24" s="15"/>
      <c r="D24" s="6"/>
      <c r="E24" s="6"/>
      <c r="F24" s="6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>
      <c r="A25" s="25">
        <v>22</v>
      </c>
      <c r="B25" s="20"/>
      <c r="C25" s="15"/>
      <c r="D25" s="6"/>
      <c r="E25" s="6"/>
      <c r="F25" s="6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>
      <c r="A26" s="12"/>
      <c r="B26" s="20"/>
      <c r="C26" s="14"/>
      <c r="D26" s="6"/>
      <c r="E26" s="6"/>
      <c r="F26" s="6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>
      <c r="A27" s="1"/>
      <c r="B27" s="22"/>
      <c r="C27" s="38" t="s">
        <v>27</v>
      </c>
      <c r="D27" s="39">
        <f>SUM(D4:D26)</f>
        <v>0</v>
      </c>
      <c r="E27" s="39">
        <f>SUM(E4:E26)</f>
        <v>0</v>
      </c>
      <c r="F27" s="39">
        <f>SUM(F4:F26)</f>
        <v>0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>
      <c r="A28" s="1"/>
      <c r="C28" s="49"/>
      <c r="D28" s="49"/>
      <c r="E28" s="49"/>
      <c r="F28" s="49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>
      <c r="A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>
      <c r="A30" s="1"/>
      <c r="C30" s="33" t="s">
        <v>51</v>
      </c>
      <c r="D30" s="34">
        <f>AVERAGE(D27:F28)</f>
        <v>0</v>
      </c>
      <c r="E30" s="34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>
      <c r="A31" s="1"/>
      <c r="C31" s="51"/>
      <c r="D31" s="34"/>
      <c r="E31" s="34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8.75" customHeight="1">
      <c r="A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48.75" customHeight="1">
      <c r="A33" s="1"/>
      <c r="B33" s="22"/>
      <c r="C33" s="30" t="s">
        <v>27</v>
      </c>
      <c r="D33" s="48">
        <f>CIS_MÓDULO1!D30+'CIS_MÓDULO 2'!D30+'CIS_MÓDULO 3'!D32+'CIS_MÓDULO 4'!D30+'CIS_MÓDULO 5'!D30</f>
        <v>0</v>
      </c>
      <c r="E33" s="48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>
      <c r="A34" s="1"/>
      <c r="B34" s="1"/>
      <c r="C34" s="1"/>
      <c r="D34" s="22"/>
      <c r="E34" s="22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</sheetData>
  <mergeCells count="9">
    <mergeCell ref="D33:E33"/>
    <mergeCell ref="C30:C31"/>
    <mergeCell ref="D30:E31"/>
    <mergeCell ref="A1:F1"/>
    <mergeCell ref="D2:F2"/>
    <mergeCell ref="C27:C28"/>
    <mergeCell ref="D27:D28"/>
    <mergeCell ref="E27:E28"/>
    <mergeCell ref="F27:F28"/>
  </mergeCells>
  <pageMargins left="0.511811024" right="0.511811024" top="0.78740157499999996" bottom="0.78740157499999996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D034C-6B02-40BB-86EB-7F76E5B907A7}">
  <dimension ref="A1:Z999"/>
  <sheetViews>
    <sheetView topLeftCell="B1" zoomScaleNormal="100" workbookViewId="0">
      <selection activeCell="E16" sqref="E16"/>
    </sheetView>
  </sheetViews>
  <sheetFormatPr defaultColWidth="14.42578125" defaultRowHeight="15" customHeight="1"/>
  <cols>
    <col min="1" max="1" width="20.5703125" customWidth="1"/>
    <col min="2" max="2" width="97.85546875" customWidth="1"/>
    <col min="3" max="3" width="22.140625" customWidth="1"/>
    <col min="4" max="4" width="19.7109375" customWidth="1"/>
    <col min="5" max="5" width="22.140625" customWidth="1"/>
    <col min="6" max="6" width="19.140625" customWidth="1"/>
    <col min="7" max="26" width="8.7109375" customWidth="1"/>
  </cols>
  <sheetData>
    <row r="1" spans="1:26" ht="15.75">
      <c r="A1" s="35" t="s">
        <v>0</v>
      </c>
      <c r="B1" s="36"/>
      <c r="C1" s="36"/>
      <c r="D1" s="36"/>
      <c r="E1" s="36"/>
      <c r="F1" s="36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2" t="s">
        <v>1</v>
      </c>
      <c r="B2" s="3"/>
      <c r="C2" s="7" t="s">
        <v>2</v>
      </c>
      <c r="D2" s="37">
        <f>SUM(C4:C26)</f>
        <v>10</v>
      </c>
      <c r="E2" s="37"/>
      <c r="F2" s="37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>
      <c r="A3" s="4" t="s">
        <v>3</v>
      </c>
      <c r="B3" s="4" t="s">
        <v>4</v>
      </c>
      <c r="C3" s="4" t="s">
        <v>5</v>
      </c>
      <c r="D3" s="8" t="s">
        <v>6</v>
      </c>
      <c r="E3" s="8" t="s">
        <v>7</v>
      </c>
      <c r="F3" s="8" t="s">
        <v>8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24">
        <v>1</v>
      </c>
      <c r="B4" s="10" t="s">
        <v>71</v>
      </c>
      <c r="C4" s="6">
        <v>0.5</v>
      </c>
      <c r="D4" s="6">
        <v>0</v>
      </c>
      <c r="E4" s="6">
        <v>0</v>
      </c>
      <c r="F4" s="6">
        <v>0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24">
        <v>2</v>
      </c>
      <c r="B5" s="28" t="s">
        <v>72</v>
      </c>
      <c r="C5" s="6">
        <v>1</v>
      </c>
      <c r="D5" s="6">
        <v>0</v>
      </c>
      <c r="E5" s="6">
        <v>0</v>
      </c>
      <c r="F5" s="6">
        <v>0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24">
        <v>3</v>
      </c>
      <c r="B6" s="28" t="s">
        <v>73</v>
      </c>
      <c r="C6" s="6">
        <v>1</v>
      </c>
      <c r="D6" s="6">
        <v>0</v>
      </c>
      <c r="E6" s="6">
        <v>0</v>
      </c>
      <c r="F6" s="6">
        <v>0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8.5">
      <c r="A7" s="25">
        <v>4</v>
      </c>
      <c r="B7" s="28" t="s">
        <v>74</v>
      </c>
      <c r="C7" s="6">
        <v>1</v>
      </c>
      <c r="D7" s="6">
        <v>0</v>
      </c>
      <c r="E7" s="6">
        <v>0</v>
      </c>
      <c r="F7" s="6">
        <v>0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25">
        <v>5</v>
      </c>
      <c r="B8" s="9" t="s">
        <v>75</v>
      </c>
      <c r="C8" s="6">
        <v>1</v>
      </c>
      <c r="D8" s="6">
        <v>0</v>
      </c>
      <c r="E8" s="6">
        <v>0</v>
      </c>
      <c r="F8" s="6">
        <v>0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25">
        <v>6</v>
      </c>
      <c r="B9" s="9" t="s">
        <v>76</v>
      </c>
      <c r="C9" s="6">
        <v>1</v>
      </c>
      <c r="D9" s="6">
        <v>0</v>
      </c>
      <c r="E9" s="6">
        <v>0</v>
      </c>
      <c r="F9" s="6">
        <v>0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25">
        <v>7</v>
      </c>
      <c r="B10" s="9" t="s">
        <v>77</v>
      </c>
      <c r="C10" s="6">
        <v>1</v>
      </c>
      <c r="D10" s="6">
        <v>0</v>
      </c>
      <c r="E10" s="6">
        <v>0</v>
      </c>
      <c r="F10" s="6">
        <v>0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25">
        <v>8</v>
      </c>
      <c r="B11" s="9" t="s">
        <v>78</v>
      </c>
      <c r="C11" s="6">
        <v>1</v>
      </c>
      <c r="D11" s="6">
        <v>0</v>
      </c>
      <c r="E11" s="6">
        <v>0</v>
      </c>
      <c r="F11" s="6">
        <v>0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25">
        <v>9</v>
      </c>
      <c r="B12" s="28" t="s">
        <v>79</v>
      </c>
      <c r="C12" s="6">
        <v>0.5</v>
      </c>
      <c r="D12" s="6">
        <v>0</v>
      </c>
      <c r="E12" s="6">
        <v>0</v>
      </c>
      <c r="F12" s="6">
        <v>0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25">
        <v>10</v>
      </c>
      <c r="B13" s="9" t="s">
        <v>80</v>
      </c>
      <c r="C13" s="6">
        <v>1</v>
      </c>
      <c r="D13" s="6">
        <v>0</v>
      </c>
      <c r="E13" s="6">
        <v>0</v>
      </c>
      <c r="F13" s="6">
        <v>0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25">
        <v>11</v>
      </c>
      <c r="B14" s="9" t="s">
        <v>81</v>
      </c>
      <c r="C14" s="6">
        <v>1</v>
      </c>
      <c r="D14" s="6">
        <v>0</v>
      </c>
      <c r="E14" s="6">
        <v>0</v>
      </c>
      <c r="F14" s="6">
        <v>0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25">
        <v>12</v>
      </c>
      <c r="B15" s="26"/>
      <c r="C15" s="6"/>
      <c r="D15" s="6">
        <v>0</v>
      </c>
      <c r="E15" s="6">
        <v>0</v>
      </c>
      <c r="F15" s="6">
        <v>0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24">
        <v>13</v>
      </c>
      <c r="B16" s="26"/>
      <c r="C16" s="6"/>
      <c r="D16" s="6">
        <v>0</v>
      </c>
      <c r="E16" s="6">
        <v>0</v>
      </c>
      <c r="F16" s="6">
        <v>0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25">
        <v>14</v>
      </c>
      <c r="B17" s="13"/>
      <c r="C17" s="6"/>
      <c r="D17" s="6">
        <v>0</v>
      </c>
      <c r="E17" s="6">
        <v>0</v>
      </c>
      <c r="F17" s="6">
        <v>0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25">
        <v>15</v>
      </c>
      <c r="B18" s="13"/>
      <c r="C18" s="14"/>
      <c r="D18" s="6">
        <v>0</v>
      </c>
      <c r="E18" s="6">
        <v>0</v>
      </c>
      <c r="F18" s="6">
        <v>0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25">
        <v>16</v>
      </c>
      <c r="B19" s="13"/>
      <c r="C19" s="14"/>
      <c r="D19" s="6">
        <v>0</v>
      </c>
      <c r="E19" s="6">
        <v>0</v>
      </c>
      <c r="F19" s="6">
        <v>0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>
      <c r="A20" s="25">
        <v>17</v>
      </c>
      <c r="B20" s="13"/>
      <c r="C20" s="14"/>
      <c r="D20" s="6">
        <v>0</v>
      </c>
      <c r="E20" s="6">
        <v>0</v>
      </c>
      <c r="F20" s="6">
        <v>0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>
      <c r="A21" s="25">
        <v>18</v>
      </c>
      <c r="B21" s="13"/>
      <c r="C21" s="14"/>
      <c r="D21" s="6">
        <v>0</v>
      </c>
      <c r="E21" s="6">
        <v>0</v>
      </c>
      <c r="F21" s="6">
        <v>0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>
      <c r="A22" s="25">
        <v>19</v>
      </c>
      <c r="B22" s="13"/>
      <c r="C22" s="14"/>
      <c r="D22" s="6">
        <v>0</v>
      </c>
      <c r="E22" s="6">
        <v>0</v>
      </c>
      <c r="F22" s="6">
        <v>0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>
      <c r="A23" s="25">
        <v>20</v>
      </c>
      <c r="B23" s="21"/>
      <c r="C23" s="14"/>
      <c r="D23" s="6">
        <v>0</v>
      </c>
      <c r="E23" s="6">
        <v>0</v>
      </c>
      <c r="F23" s="6">
        <v>0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>
      <c r="A24" s="25">
        <v>21</v>
      </c>
      <c r="B24" s="20"/>
      <c r="C24" s="15"/>
      <c r="D24" s="6"/>
      <c r="E24" s="6"/>
      <c r="F24" s="6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>
      <c r="A25" s="25">
        <v>22</v>
      </c>
      <c r="B25" s="20"/>
      <c r="C25" s="15"/>
      <c r="D25" s="6"/>
      <c r="E25" s="6"/>
      <c r="F25" s="6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>
      <c r="A26" s="12"/>
      <c r="B26" s="20"/>
      <c r="C26" s="14"/>
      <c r="D26" s="6"/>
      <c r="E26" s="6"/>
      <c r="F26" s="6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>
      <c r="A27" s="1"/>
      <c r="B27" s="22"/>
      <c r="C27" s="38" t="s">
        <v>27</v>
      </c>
      <c r="D27" s="39">
        <f>SUM(D4:D26)</f>
        <v>0</v>
      </c>
      <c r="E27" s="39">
        <f>SUM(E4:E26)</f>
        <v>0</v>
      </c>
      <c r="F27" s="39">
        <f>SUM(F4:F26)</f>
        <v>0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>
      <c r="A28" s="1"/>
      <c r="C28" s="49"/>
      <c r="D28" s="49"/>
      <c r="E28" s="49"/>
      <c r="F28" s="49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>
      <c r="A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>
      <c r="A30" s="1"/>
      <c r="C30" s="33" t="s">
        <v>51</v>
      </c>
      <c r="D30" s="34">
        <f>AVERAGE(D27:F28)</f>
        <v>0</v>
      </c>
      <c r="E30" s="34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>
      <c r="A31" s="1"/>
      <c r="C31" s="51"/>
      <c r="D31" s="34"/>
      <c r="E31" s="34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>
      <c r="A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49.5" customHeight="1">
      <c r="A33" s="1"/>
      <c r="B33" s="22"/>
      <c r="C33" s="30" t="s">
        <v>27</v>
      </c>
      <c r="D33" s="31">
        <f>'CIS_MÓDULO 4'!D33</f>
        <v>0</v>
      </c>
      <c r="E33" s="32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</sheetData>
  <mergeCells count="9">
    <mergeCell ref="D33:E33"/>
    <mergeCell ref="C30:C31"/>
    <mergeCell ref="D30:E31"/>
    <mergeCell ref="A1:F1"/>
    <mergeCell ref="D2:F2"/>
    <mergeCell ref="C27:C28"/>
    <mergeCell ref="D27:D28"/>
    <mergeCell ref="E27:E28"/>
    <mergeCell ref="F27:F28"/>
  </mergeCells>
  <pageMargins left="0.511811024" right="0.511811024" top="0.78740157499999996" bottom="0.78740157499999996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Deilson Dos Santos De Aquino</dc:creator>
  <cp:keywords/>
  <dc:description/>
  <cp:lastModifiedBy>Deilson Dos Santos De Aquino</cp:lastModifiedBy>
  <cp:revision/>
  <dcterms:created xsi:type="dcterms:W3CDTF">2023-11-29T19:16:26Z</dcterms:created>
  <dcterms:modified xsi:type="dcterms:W3CDTF">2026-06-22T19:23:36Z</dcterms:modified>
  <cp:category/>
  <cp:contentStatus/>
</cp:coreProperties>
</file>